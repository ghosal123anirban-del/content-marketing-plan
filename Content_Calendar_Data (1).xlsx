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Calendar" sheetId="1" state="visible" r:id="rId3"/>
    <sheet name="Channel Performance" sheetId="2" state="visible" r:id="rId4"/>
    <sheet name="Weekly Performance" sheetId="3" state="visible" r:id="rId5"/>
    <sheet name="Pillar Analysis" sheetId="4" state="visible" r:id="rId6"/>
    <sheet name="KPI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<sst xmlns="http://schemas.openxmlformats.org/spreadsheetml/2006/main" count="404" uniqueCount="206">
  <si>
    <t xml:space="preserve">GlowSkin Co. – 30-Day Content Calendar (April 2026)</t>
  </si>
  <si>
    <t xml:space="preserve">Brand: GlowSkin Co.  |  Type: B2C Skincare  |  Channels: Instagram, Blog, Email, YouTube Shorts</t>
  </si>
  <si>
    <t xml:space="preserve">Week</t>
  </si>
  <si>
    <t xml:space="preserve">Date</t>
  </si>
  <si>
    <t xml:space="preserve">Day</t>
  </si>
  <si>
    <t xml:space="preserve">Channel</t>
  </si>
  <si>
    <t xml:space="preserve">Content Title</t>
  </si>
  <si>
    <t xml:space="preserve">Pillar</t>
  </si>
  <si>
    <t xml:space="preserve">Format</t>
  </si>
  <si>
    <t xml:space="preserve">Status</t>
  </si>
  <si>
    <t xml:space="preserve">Notes</t>
  </si>
  <si>
    <t xml:space="preserve">Apr 1</t>
  </si>
  <si>
    <t xml:space="preserve">Tue</t>
  </si>
  <si>
    <t xml:space="preserve">Instagram</t>
  </si>
  <si>
    <t xml:space="preserve">What is Double Cleansing? (Carousel)</t>
  </si>
  <si>
    <t xml:space="preserve">Educate</t>
  </si>
  <si>
    <t xml:space="preserve">Carousel</t>
  </si>
  <si>
    <t xml:space="preserve">Published</t>
  </si>
  <si>
    <t xml:space="preserve">High saves expected</t>
  </si>
  <si>
    <t xml:space="preserve">Blog</t>
  </si>
  <si>
    <t xml:space="preserve">The Complete Beginner's Skincare Guide</t>
  </si>
  <si>
    <t xml:space="preserve">Long-form Article</t>
  </si>
  <si>
    <t xml:space="preserve">Target keyword: skincare routine beginner</t>
  </si>
  <si>
    <t xml:space="preserve">Apr 2</t>
  </si>
  <si>
    <t xml:space="preserve">Wed</t>
  </si>
  <si>
    <t xml:space="preserve">Email</t>
  </si>
  <si>
    <t xml:space="preserve">April Newsletter – Skin Foundations Edition</t>
  </si>
  <si>
    <t xml:space="preserve">HTML Email</t>
  </si>
  <si>
    <t xml:space="preserve">Open rate: 44.1%</t>
  </si>
  <si>
    <t xml:space="preserve">Apr 3</t>
  </si>
  <si>
    <t xml:space="preserve">Thu</t>
  </si>
  <si>
    <t xml:space="preserve">Morning vs Night Routine – What's Different?</t>
  </si>
  <si>
    <t xml:space="preserve">Reel</t>
  </si>
  <si>
    <t xml:space="preserve">Apr 4</t>
  </si>
  <si>
    <t xml:space="preserve">Fri</t>
  </si>
  <si>
    <t xml:space="preserve">10 Skincare Mistakes You're Probably Making</t>
  </si>
  <si>
    <t xml:space="preserve">List Article</t>
  </si>
  <si>
    <t xml:space="preserve">Target keyword: skincare mistakes</t>
  </si>
  <si>
    <t xml:space="preserve">YouTube</t>
  </si>
  <si>
    <t xml:space="preserve">How to Build a Skincare Routine from Scratch</t>
  </si>
  <si>
    <t xml:space="preserve">YouTube Short</t>
  </si>
  <si>
    <t xml:space="preserve">Apr 5</t>
  </si>
  <si>
    <t xml:space="preserve">Sat</t>
  </si>
  <si>
    <t xml:space="preserve">Cleanser Types Explained (Carousel)</t>
  </si>
  <si>
    <t xml:space="preserve">Apr 6</t>
  </si>
  <si>
    <t xml:space="preserve">Sun</t>
  </si>
  <si>
    <t xml:space="preserve">What Order Should You Apply Products?</t>
  </si>
  <si>
    <t xml:space="preserve">Apr 7</t>
  </si>
  <si>
    <t xml:space="preserve">Mon</t>
  </si>
  <si>
    <t xml:space="preserve">Sunday Skin Reset Routine (Reel)</t>
  </si>
  <si>
    <t xml:space="preserve">Inspire</t>
  </si>
  <si>
    <t xml:space="preserve">Apr 8</t>
  </si>
  <si>
    <t xml:space="preserve">Niacinamide vs Vitamin C – Which for You?</t>
  </si>
  <si>
    <t xml:space="preserve">Best performer: 14,200 reach</t>
  </si>
  <si>
    <t xml:space="preserve">The Science of Niacinamide – Full Guide</t>
  </si>
  <si>
    <t xml:space="preserve">Apr 9</t>
  </si>
  <si>
    <t xml:space="preserve">April Week 2 – Ingredient Spotlight</t>
  </si>
  <si>
    <t xml:space="preserve">Open rate: 42.8%</t>
  </si>
  <si>
    <t xml:space="preserve">Apr 10</t>
  </si>
  <si>
    <t xml:space="preserve">Before/After: 4 Weeks on Vitamin C Serum</t>
  </si>
  <si>
    <t xml:space="preserve">Image Post</t>
  </si>
  <si>
    <t xml:space="preserve">Apr 11</t>
  </si>
  <si>
    <t xml:space="preserve">Hyaluronic Acid: Everything You Need to Know</t>
  </si>
  <si>
    <t xml:space="preserve">Ingredient Check: What's in Our Serum?</t>
  </si>
  <si>
    <t xml:space="preserve">Apr 12</t>
  </si>
  <si>
    <t xml:space="preserve">5 Ingredients to Avoid in Skincare (Carousel)</t>
  </si>
  <si>
    <t xml:space="preserve">Apr 13</t>
  </si>
  <si>
    <t xml:space="preserve">How Retinol Really Works (60 sec)</t>
  </si>
  <si>
    <t xml:space="preserve">Apr 14</t>
  </si>
  <si>
    <t xml:space="preserve">Glow Up Monday – Real Customer Skin Journey</t>
  </si>
  <si>
    <t xml:space="preserve">Apr 15</t>
  </si>
  <si>
    <t xml:space="preserve">Poll: Morning Routine or Night Routine?</t>
  </si>
  <si>
    <t xml:space="preserve">Engage</t>
  </si>
  <si>
    <t xml:space="preserve">Story Poll</t>
  </si>
  <si>
    <t xml:space="preserve">High engagement: 1,200 votes</t>
  </si>
  <si>
    <t xml:space="preserve">Our Customers Share Their Skincare Journeys</t>
  </si>
  <si>
    <t xml:space="preserve">UGC Article</t>
  </si>
  <si>
    <t xml:space="preserve">Apr 16</t>
  </si>
  <si>
    <t xml:space="preserve">April Week 3 – Community Highlights</t>
  </si>
  <si>
    <t xml:space="preserve">Open rate: 43.6%</t>
  </si>
  <si>
    <t xml:space="preserve">Apr 17</t>
  </si>
  <si>
    <t xml:space="preserve">Q&amp;A: Your Skincare Questions Answered</t>
  </si>
  <si>
    <t xml:space="preserve">Live + Story</t>
  </si>
  <si>
    <t xml:space="preserve">Apr 18</t>
  </si>
  <si>
    <t xml:space="preserve">10 Real Customer Reviews That Will Inspire You</t>
  </si>
  <si>
    <t xml:space="preserve">Review Article</t>
  </si>
  <si>
    <t xml:space="preserve">We Tried YOUR Skincare Recommendations</t>
  </si>
  <si>
    <t xml:space="preserve">Apr 19</t>
  </si>
  <si>
    <t xml:space="preserve">GIVEAWAY: Win a Full GlowSkin Kit!</t>
  </si>
  <si>
    <t xml:space="preserve">2,100 engagement</t>
  </si>
  <si>
    <t xml:space="preserve">Apr 20</t>
  </si>
  <si>
    <t xml:space="preserve">Top 5 Customer Skin Transformations</t>
  </si>
  <si>
    <t xml:space="preserve">Apr 21</t>
  </si>
  <si>
    <t xml:space="preserve">User Spotlight – @username's Glow Journey</t>
  </si>
  <si>
    <t xml:space="preserve">Apr 22</t>
  </si>
  <si>
    <t xml:space="preserve">Introducing GlowShield SPF 50 (Launch Post)</t>
  </si>
  <si>
    <t xml:space="preserve">Promote</t>
  </si>
  <si>
    <t xml:space="preserve">Product launch – 9,800 reach</t>
  </si>
  <si>
    <t xml:space="preserve">Why You Need SPF Every Day – Feat. GlowShield</t>
  </si>
  <si>
    <t xml:space="preserve">Article</t>
  </si>
  <si>
    <t xml:space="preserve">Apr 23</t>
  </si>
  <si>
    <t xml:space="preserve">April Week 4 – New Launch + Exclusive Offer</t>
  </si>
  <si>
    <t xml:space="preserve">Open rate: 42.4%</t>
  </si>
  <si>
    <t xml:space="preserve">Apr 24</t>
  </si>
  <si>
    <t xml:space="preserve">GlowShield SPF 50 – Full Review Reel</t>
  </si>
  <si>
    <t xml:space="preserve">Apr 25</t>
  </si>
  <si>
    <t xml:space="preserve">GlowShield SPF 50 – Ingredient Breakdown</t>
  </si>
  <si>
    <t xml:space="preserve">GlowShield SPF 50 – Honest 1-Week Review</t>
  </si>
  <si>
    <t xml:space="preserve">Apr 26</t>
  </si>
  <si>
    <t xml:space="preserve">Use Code GLOW20 – 20% Off This Weekend</t>
  </si>
  <si>
    <t xml:space="preserve">Apr 27</t>
  </si>
  <si>
    <t xml:space="preserve">Top 3 Reasons to Switch to GlowShield SPF</t>
  </si>
  <si>
    <t xml:space="preserve">Apr 28</t>
  </si>
  <si>
    <t xml:space="preserve">Last Call: GLOW20 Expires Tonight!</t>
  </si>
  <si>
    <t xml:space="preserve">Story + Post</t>
  </si>
  <si>
    <t xml:space="preserve">Apr 29</t>
  </si>
  <si>
    <t xml:space="preserve">Thank You – April Wrap Up</t>
  </si>
  <si>
    <t xml:space="preserve">Apr 30</t>
  </si>
  <si>
    <t xml:space="preserve">April Wrap-Up + May Preview</t>
  </si>
  <si>
    <t xml:space="preserve">Channel Performance Summary – April 2026</t>
  </si>
  <si>
    <t xml:space="preserve">Posts</t>
  </si>
  <si>
    <t xml:space="preserve">Total Reach</t>
  </si>
  <si>
    <t xml:space="preserve">Engagement</t>
  </si>
  <si>
    <t xml:space="preserve">Clicks</t>
  </si>
  <si>
    <t xml:space="preserve">Eng. Rate (%)</t>
  </si>
  <si>
    <t xml:space="preserve">Top Content</t>
  </si>
  <si>
    <t xml:space="preserve">Instagram Feed</t>
  </si>
  <si>
    <t xml:space="preserve">18</t>
  </si>
  <si>
    <t xml:space="preserve">Niacinamide vs Vitamin C Carousel</t>
  </si>
  <si>
    <t xml:space="preserve">Blog (Website)</t>
  </si>
  <si>
    <t xml:space="preserve">8</t>
  </si>
  <si>
    <t xml:space="preserve">—</t>
  </si>
  <si>
    <t xml:space="preserve">Beginner Skincare Guide</t>
  </si>
  <si>
    <t xml:space="preserve">Email Newsletter</t>
  </si>
  <si>
    <t xml:space="preserve">4</t>
  </si>
  <si>
    <t xml:space="preserve">43.2% open rate</t>
  </si>
  <si>
    <t xml:space="preserve">April Week 1 Newsletter</t>
  </si>
  <si>
    <t xml:space="preserve">YouTube Shorts</t>
  </si>
  <si>
    <t xml:space="preserve">10</t>
  </si>
  <si>
    <t xml:space="preserve">GlowShield SPF Review</t>
  </si>
  <si>
    <t xml:space="preserve">TOTAL</t>
  </si>
  <si>
    <t xml:space="preserve">Weekly Performance – Instagram (April 2026)</t>
  </si>
  <si>
    <t xml:space="preserve">Theme</t>
  </si>
  <si>
    <t xml:space="preserve">Reach</t>
  </si>
  <si>
    <t xml:space="preserve">Impressions</t>
  </si>
  <si>
    <t xml:space="preserve">Saves</t>
  </si>
  <si>
    <t xml:space="preserve">Skin Foundations</t>
  </si>
  <si>
    <t xml:space="preserve">Ingredient Deep Dive</t>
  </si>
  <si>
    <t xml:space="preserve">Community &amp; UGC</t>
  </si>
  <si>
    <t xml:space="preserve">Product Launch &amp; Promo</t>
  </si>
  <si>
    <t xml:space="preserve">Content Pillar Performance Analysis</t>
  </si>
  <si>
    <t xml:space="preserve">Content Pillar</t>
  </si>
  <si>
    <t xml:space="preserve">% of Content</t>
  </si>
  <si>
    <t xml:space="preserve">Avg Reach</t>
  </si>
  <si>
    <t xml:space="preserve">Avg Engagement</t>
  </si>
  <si>
    <t xml:space="preserve">Top Metric</t>
  </si>
  <si>
    <t xml:space="preserve">14</t>
  </si>
  <si>
    <t xml:space="preserve">35%</t>
  </si>
  <si>
    <t xml:space="preserve">Highest Saves &amp; Shares</t>
  </si>
  <si>
    <t xml:space="preserve">25%</t>
  </si>
  <si>
    <t xml:space="preserve">Highest Reel Views</t>
  </si>
  <si>
    <t xml:space="preserve">Highest Comments &amp; DMs</t>
  </si>
  <si>
    <t xml:space="preserve">6</t>
  </si>
  <si>
    <t xml:space="preserve">15%</t>
  </si>
  <si>
    <t xml:space="preserve">Highest Clicks &amp; Revenue</t>
  </si>
  <si>
    <t xml:space="preserve">Content Marketing KPI Summary – GlowSkin Co.</t>
  </si>
  <si>
    <t xml:space="preserve">KPI</t>
  </si>
  <si>
    <t xml:space="preserve">Target</t>
  </si>
  <si>
    <t xml:space="preserve">Achieved</t>
  </si>
  <si>
    <t xml:space="preserve">Variance</t>
  </si>
  <si>
    <t xml:space="preserve">Benchmark</t>
  </si>
  <si>
    <t xml:space="preserve">Total Content Reach</t>
  </si>
  <si>
    <t xml:space="preserve">60,000</t>
  </si>
  <si>
    <t xml:space="preserve">91,400</t>
  </si>
  <si>
    <t xml:space="preserve">+31,400</t>
  </si>
  <si>
    <t xml:space="preserve">✅ Exceeded</t>
  </si>
  <si>
    <t xml:space="preserve">Instagram Engagement Rate</t>
  </si>
  <si>
    <t xml:space="preserve">5%</t>
  </si>
  <si>
    <t xml:space="preserve">8.6%</t>
  </si>
  <si>
    <t xml:space="preserve">+3.6pp</t>
  </si>
  <si>
    <t xml:space="preserve">3–5%</t>
  </si>
  <si>
    <t xml:space="preserve">Blog Sessions</t>
  </si>
  <si>
    <t xml:space="preserve">2,500</t>
  </si>
  <si>
    <t xml:space="preserve">3,600</t>
  </si>
  <si>
    <t xml:space="preserve">+1,100</t>
  </si>
  <si>
    <t xml:space="preserve">Email Open Rate</t>
  </si>
  <si>
    <t xml:space="preserve">30%</t>
  </si>
  <si>
    <t xml:space="preserve">43.2%</t>
  </si>
  <si>
    <t xml:space="preserve">+13.2pp</t>
  </si>
  <si>
    <t xml:space="preserve">21.3%</t>
  </si>
  <si>
    <t xml:space="preserve">Total Website Clicks</t>
  </si>
  <si>
    <t xml:space="preserve">5,000</t>
  </si>
  <si>
    <t xml:space="preserve">7,600</t>
  </si>
  <si>
    <t xml:space="preserve">+2,600</t>
  </si>
  <si>
    <t xml:space="preserve">New Instagram Followers</t>
  </si>
  <si>
    <t xml:space="preserve">500</t>
  </si>
  <si>
    <t xml:space="preserve">648</t>
  </si>
  <si>
    <t xml:space="preserve">+148</t>
  </si>
  <si>
    <t xml:space="preserve">Revenue from Content</t>
  </si>
  <si>
    <t xml:space="preserve">₹1,00,000</t>
  </si>
  <si>
    <t xml:space="preserve">₹1,68,000</t>
  </si>
  <si>
    <t xml:space="preserve">+₹68,000</t>
  </si>
  <si>
    <t xml:space="preserve">Content Marketing ROI</t>
  </si>
  <si>
    <t xml:space="preserve">400%</t>
  </si>
  <si>
    <t xml:space="preserve">833%</t>
  </si>
  <si>
    <t xml:space="preserve">+433pp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</si>
</sst>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C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FFFFF"/>
        <bgColor rgb="FFF2F7FC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2F7FC"/>
      </patternFill>
    </fill>
    <fill>
      <patternFill patternType="solid">
        <fgColor rgb="FFFCE4EC"/>
        <bgColor rgb="FFFFF3E0"/>
      </patternFill>
    </fill>
    <fill>
      <patternFill patternType="solid">
        <fgColor rgb="FFD5E8F0"/>
        <bgColor rgb="FFE3F2FD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3F2FD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5E8F0"/>
      <rgbColor rgb="FFF2F7F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4" t="s">
        <v>11</v>
      </c>
      <c r="C5" s="4" t="s">
        <v>12</v>
      </c>
      <c r="D5" s="5" t="s">
        <v>13</v>
      </c>
      <c r="E5" s="5" t="s">
        <v>14</v>
      </c>
      <c r="F5" s="6" t="s">
        <v>15</v>
      </c>
      <c r="G5" s="4" t="s">
        <v>16</v>
      </c>
      <c r="H5" s="5" t="s">
        <v>17</v>
      </c>
      <c r="I5" s="5" t="s">
        <v>18</v>
      </c>
    </row>
    <row r="6" customFormat="false" ht="23.85" hidden="false" customHeight="false" outlineLevel="0" collapsed="false">
      <c r="A6" s="7" t="n">
        <v>1</v>
      </c>
      <c r="B6" s="7" t="s">
        <v>11</v>
      </c>
      <c r="C6" s="7" t="s">
        <v>12</v>
      </c>
      <c r="D6" s="8" t="s">
        <v>19</v>
      </c>
      <c r="E6" s="8" t="s">
        <v>20</v>
      </c>
      <c r="F6" s="6" t="s">
        <v>15</v>
      </c>
      <c r="G6" s="7" t="s">
        <v>21</v>
      </c>
      <c r="H6" s="8" t="s">
        <v>17</v>
      </c>
      <c r="I6" s="8" t="s">
        <v>22</v>
      </c>
    </row>
    <row r="7" customFormat="false" ht="15" hidden="false" customHeight="false" outlineLevel="0" collapsed="false">
      <c r="A7" s="4" t="n">
        <v>1</v>
      </c>
      <c r="B7" s="4" t="s">
        <v>23</v>
      </c>
      <c r="C7" s="4" t="s">
        <v>24</v>
      </c>
      <c r="D7" s="5" t="s">
        <v>25</v>
      </c>
      <c r="E7" s="5" t="s">
        <v>26</v>
      </c>
      <c r="F7" s="6" t="s">
        <v>15</v>
      </c>
      <c r="G7" s="4" t="s">
        <v>27</v>
      </c>
      <c r="H7" s="5" t="s">
        <v>17</v>
      </c>
      <c r="I7" s="5" t="s">
        <v>28</v>
      </c>
    </row>
    <row r="8" customFormat="false" ht="15" hidden="false" customHeight="false" outlineLevel="0" collapsed="false">
      <c r="A8" s="7" t="n">
        <v>1</v>
      </c>
      <c r="B8" s="7" t="s">
        <v>29</v>
      </c>
      <c r="C8" s="7" t="s">
        <v>30</v>
      </c>
      <c r="D8" s="8" t="s">
        <v>13</v>
      </c>
      <c r="E8" s="8" t="s">
        <v>31</v>
      </c>
      <c r="F8" s="6" t="s">
        <v>15</v>
      </c>
      <c r="G8" s="7" t="s">
        <v>32</v>
      </c>
      <c r="H8" s="8" t="s">
        <v>17</v>
      </c>
      <c r="I8" s="8"/>
    </row>
    <row r="9" customFormat="false" ht="23.85" hidden="false" customHeight="false" outlineLevel="0" collapsed="false">
      <c r="A9" s="4" t="n">
        <v>1</v>
      </c>
      <c r="B9" s="4" t="s">
        <v>33</v>
      </c>
      <c r="C9" s="4" t="s">
        <v>34</v>
      </c>
      <c r="D9" s="5" t="s">
        <v>19</v>
      </c>
      <c r="E9" s="5" t="s">
        <v>35</v>
      </c>
      <c r="F9" s="6" t="s">
        <v>15</v>
      </c>
      <c r="G9" s="4" t="s">
        <v>36</v>
      </c>
      <c r="H9" s="5" t="s">
        <v>17</v>
      </c>
      <c r="I9" s="5" t="s">
        <v>37</v>
      </c>
    </row>
    <row r="10" customFormat="false" ht="15" hidden="false" customHeight="false" outlineLevel="0" collapsed="false">
      <c r="A10" s="7" t="n">
        <v>1</v>
      </c>
      <c r="B10" s="7" t="s">
        <v>33</v>
      </c>
      <c r="C10" s="7" t="s">
        <v>34</v>
      </c>
      <c r="D10" s="8" t="s">
        <v>38</v>
      </c>
      <c r="E10" s="8" t="s">
        <v>39</v>
      </c>
      <c r="F10" s="6" t="s">
        <v>15</v>
      </c>
      <c r="G10" s="7" t="s">
        <v>40</v>
      </c>
      <c r="H10" s="8" t="s">
        <v>17</v>
      </c>
      <c r="I10" s="8"/>
    </row>
    <row r="11" customFormat="false" ht="15" hidden="false" customHeight="false" outlineLevel="0" collapsed="false">
      <c r="A11" s="4" t="n">
        <v>1</v>
      </c>
      <c r="B11" s="4" t="s">
        <v>41</v>
      </c>
      <c r="C11" s="4" t="s">
        <v>42</v>
      </c>
      <c r="D11" s="5" t="s">
        <v>13</v>
      </c>
      <c r="E11" s="5" t="s">
        <v>43</v>
      </c>
      <c r="F11" s="6" t="s">
        <v>15</v>
      </c>
      <c r="G11" s="4" t="s">
        <v>16</v>
      </c>
      <c r="H11" s="5" t="s">
        <v>17</v>
      </c>
      <c r="I11" s="5"/>
    </row>
    <row r="12" customFormat="false" ht="15" hidden="false" customHeight="false" outlineLevel="0" collapsed="false">
      <c r="A12" s="7" t="n">
        <v>1</v>
      </c>
      <c r="B12" s="7" t="s">
        <v>44</v>
      </c>
      <c r="C12" s="7" t="s">
        <v>45</v>
      </c>
      <c r="D12" s="8" t="s">
        <v>38</v>
      </c>
      <c r="E12" s="8" t="s">
        <v>46</v>
      </c>
      <c r="F12" s="6" t="s">
        <v>15</v>
      </c>
      <c r="G12" s="7" t="s">
        <v>40</v>
      </c>
      <c r="H12" s="8" t="s">
        <v>17</v>
      </c>
      <c r="I12" s="8"/>
    </row>
    <row r="13" customFormat="false" ht="15" hidden="false" customHeight="false" outlineLevel="0" collapsed="false">
      <c r="A13" s="4" t="n">
        <v>1</v>
      </c>
      <c r="B13" s="4" t="s">
        <v>47</v>
      </c>
      <c r="C13" s="4" t="s">
        <v>48</v>
      </c>
      <c r="D13" s="5" t="s">
        <v>13</v>
      </c>
      <c r="E13" s="5" t="s">
        <v>49</v>
      </c>
      <c r="F13" s="9" t="s">
        <v>50</v>
      </c>
      <c r="G13" s="4" t="s">
        <v>32</v>
      </c>
      <c r="H13" s="5" t="s">
        <v>17</v>
      </c>
      <c r="I13" s="5"/>
    </row>
    <row r="14" customFormat="false" ht="15" hidden="false" customHeight="false" outlineLevel="0" collapsed="false">
      <c r="A14" s="7" t="n">
        <v>2</v>
      </c>
      <c r="B14" s="7" t="s">
        <v>51</v>
      </c>
      <c r="C14" s="7" t="s">
        <v>12</v>
      </c>
      <c r="D14" s="8" t="s">
        <v>13</v>
      </c>
      <c r="E14" s="8" t="s">
        <v>52</v>
      </c>
      <c r="F14" s="6" t="s">
        <v>15</v>
      </c>
      <c r="G14" s="7" t="s">
        <v>16</v>
      </c>
      <c r="H14" s="8" t="s">
        <v>17</v>
      </c>
      <c r="I14" s="8" t="s">
        <v>53</v>
      </c>
    </row>
    <row r="15" customFormat="false" ht="15" hidden="false" customHeight="false" outlineLevel="0" collapsed="false">
      <c r="A15" s="4" t="n">
        <v>2</v>
      </c>
      <c r="B15" s="4" t="s">
        <v>51</v>
      </c>
      <c r="C15" s="4" t="s">
        <v>12</v>
      </c>
      <c r="D15" s="5" t="s">
        <v>19</v>
      </c>
      <c r="E15" s="5" t="s">
        <v>54</v>
      </c>
      <c r="F15" s="6" t="s">
        <v>15</v>
      </c>
      <c r="G15" s="4" t="s">
        <v>21</v>
      </c>
      <c r="H15" s="5" t="s">
        <v>17</v>
      </c>
      <c r="I15" s="5"/>
    </row>
    <row r="16" customFormat="false" ht="15" hidden="false" customHeight="false" outlineLevel="0" collapsed="false">
      <c r="A16" s="7" t="n">
        <v>2</v>
      </c>
      <c r="B16" s="7" t="s">
        <v>55</v>
      </c>
      <c r="C16" s="7" t="s">
        <v>24</v>
      </c>
      <c r="D16" s="8" t="s">
        <v>25</v>
      </c>
      <c r="E16" s="8" t="s">
        <v>56</v>
      </c>
      <c r="F16" s="6" t="s">
        <v>15</v>
      </c>
      <c r="G16" s="7" t="s">
        <v>27</v>
      </c>
      <c r="H16" s="8" t="s">
        <v>17</v>
      </c>
      <c r="I16" s="8" t="s">
        <v>57</v>
      </c>
    </row>
    <row r="17" customFormat="false" ht="15" hidden="false" customHeight="false" outlineLevel="0" collapsed="false">
      <c r="A17" s="4" t="n">
        <v>2</v>
      </c>
      <c r="B17" s="4" t="s">
        <v>58</v>
      </c>
      <c r="C17" s="4" t="s">
        <v>30</v>
      </c>
      <c r="D17" s="5" t="s">
        <v>13</v>
      </c>
      <c r="E17" s="5" t="s">
        <v>59</v>
      </c>
      <c r="F17" s="9" t="s">
        <v>50</v>
      </c>
      <c r="G17" s="4" t="s">
        <v>60</v>
      </c>
      <c r="H17" s="5" t="s">
        <v>17</v>
      </c>
      <c r="I17" s="5"/>
    </row>
    <row r="18" customFormat="false" ht="23.85" hidden="false" customHeight="false" outlineLevel="0" collapsed="false">
      <c r="A18" s="7" t="n">
        <v>2</v>
      </c>
      <c r="B18" s="7" t="s">
        <v>61</v>
      </c>
      <c r="C18" s="7" t="s">
        <v>34</v>
      </c>
      <c r="D18" s="8" t="s">
        <v>19</v>
      </c>
      <c r="E18" s="8" t="s">
        <v>62</v>
      </c>
      <c r="F18" s="6" t="s">
        <v>15</v>
      </c>
      <c r="G18" s="7" t="s">
        <v>21</v>
      </c>
      <c r="H18" s="8" t="s">
        <v>17</v>
      </c>
      <c r="I18" s="8"/>
    </row>
    <row r="19" customFormat="false" ht="15" hidden="false" customHeight="false" outlineLevel="0" collapsed="false">
      <c r="A19" s="4" t="n">
        <v>2</v>
      </c>
      <c r="B19" s="4" t="s">
        <v>61</v>
      </c>
      <c r="C19" s="4" t="s">
        <v>34</v>
      </c>
      <c r="D19" s="5" t="s">
        <v>38</v>
      </c>
      <c r="E19" s="5" t="s">
        <v>63</v>
      </c>
      <c r="F19" s="6" t="s">
        <v>15</v>
      </c>
      <c r="G19" s="4" t="s">
        <v>40</v>
      </c>
      <c r="H19" s="5" t="s">
        <v>17</v>
      </c>
      <c r="I19" s="5"/>
    </row>
    <row r="20" customFormat="false" ht="15" hidden="false" customHeight="false" outlineLevel="0" collapsed="false">
      <c r="A20" s="7" t="n">
        <v>2</v>
      </c>
      <c r="B20" s="7" t="s">
        <v>64</v>
      </c>
      <c r="C20" s="7" t="s">
        <v>42</v>
      </c>
      <c r="D20" s="8" t="s">
        <v>13</v>
      </c>
      <c r="E20" s="8" t="s">
        <v>65</v>
      </c>
      <c r="F20" s="6" t="s">
        <v>15</v>
      </c>
      <c r="G20" s="7" t="s">
        <v>16</v>
      </c>
      <c r="H20" s="8" t="s">
        <v>17</v>
      </c>
      <c r="I20" s="8"/>
    </row>
    <row r="21" customFormat="false" ht="15" hidden="false" customHeight="false" outlineLevel="0" collapsed="false">
      <c r="A21" s="4" t="n">
        <v>2</v>
      </c>
      <c r="B21" s="4" t="s">
        <v>66</v>
      </c>
      <c r="C21" s="4" t="s">
        <v>45</v>
      </c>
      <c r="D21" s="5" t="s">
        <v>38</v>
      </c>
      <c r="E21" s="5" t="s">
        <v>67</v>
      </c>
      <c r="F21" s="6" t="s">
        <v>15</v>
      </c>
      <c r="G21" s="4" t="s">
        <v>40</v>
      </c>
      <c r="H21" s="5" t="s">
        <v>17</v>
      </c>
      <c r="I21" s="5"/>
    </row>
    <row r="22" customFormat="false" ht="23.85" hidden="false" customHeight="false" outlineLevel="0" collapsed="false">
      <c r="A22" s="7" t="n">
        <v>2</v>
      </c>
      <c r="B22" s="7" t="s">
        <v>68</v>
      </c>
      <c r="C22" s="7" t="s">
        <v>48</v>
      </c>
      <c r="D22" s="8" t="s">
        <v>13</v>
      </c>
      <c r="E22" s="8" t="s">
        <v>69</v>
      </c>
      <c r="F22" s="9" t="s">
        <v>50</v>
      </c>
      <c r="G22" s="7" t="s">
        <v>32</v>
      </c>
      <c r="H22" s="8" t="s">
        <v>17</v>
      </c>
      <c r="I22" s="8"/>
    </row>
    <row r="23" customFormat="false" ht="15" hidden="false" customHeight="false" outlineLevel="0" collapsed="false">
      <c r="A23" s="4" t="n">
        <v>3</v>
      </c>
      <c r="B23" s="4" t="s">
        <v>70</v>
      </c>
      <c r="C23" s="4" t="s">
        <v>12</v>
      </c>
      <c r="D23" s="5" t="s">
        <v>13</v>
      </c>
      <c r="E23" s="5" t="s">
        <v>71</v>
      </c>
      <c r="F23" s="10" t="s">
        <v>72</v>
      </c>
      <c r="G23" s="4" t="s">
        <v>73</v>
      </c>
      <c r="H23" s="5" t="s">
        <v>17</v>
      </c>
      <c r="I23" s="5" t="s">
        <v>74</v>
      </c>
    </row>
    <row r="24" customFormat="false" ht="23.85" hidden="false" customHeight="false" outlineLevel="0" collapsed="false">
      <c r="A24" s="7" t="n">
        <v>3</v>
      </c>
      <c r="B24" s="7" t="s">
        <v>70</v>
      </c>
      <c r="C24" s="7" t="s">
        <v>12</v>
      </c>
      <c r="D24" s="8" t="s">
        <v>19</v>
      </c>
      <c r="E24" s="8" t="s">
        <v>75</v>
      </c>
      <c r="F24" s="10" t="s">
        <v>72</v>
      </c>
      <c r="G24" s="7" t="s">
        <v>76</v>
      </c>
      <c r="H24" s="8" t="s">
        <v>17</v>
      </c>
      <c r="I24" s="8"/>
    </row>
    <row r="25" customFormat="false" ht="15" hidden="false" customHeight="false" outlineLevel="0" collapsed="false">
      <c r="A25" s="4" t="n">
        <v>3</v>
      </c>
      <c r="B25" s="4" t="s">
        <v>77</v>
      </c>
      <c r="C25" s="4" t="s">
        <v>24</v>
      </c>
      <c r="D25" s="5" t="s">
        <v>25</v>
      </c>
      <c r="E25" s="5" t="s">
        <v>78</v>
      </c>
      <c r="F25" s="10" t="s">
        <v>72</v>
      </c>
      <c r="G25" s="4" t="s">
        <v>27</v>
      </c>
      <c r="H25" s="5" t="s">
        <v>17</v>
      </c>
      <c r="I25" s="5" t="s">
        <v>79</v>
      </c>
    </row>
    <row r="26" customFormat="false" ht="15" hidden="false" customHeight="false" outlineLevel="0" collapsed="false">
      <c r="A26" s="7" t="n">
        <v>3</v>
      </c>
      <c r="B26" s="7" t="s">
        <v>80</v>
      </c>
      <c r="C26" s="7" t="s">
        <v>30</v>
      </c>
      <c r="D26" s="8" t="s">
        <v>13</v>
      </c>
      <c r="E26" s="8" t="s">
        <v>81</v>
      </c>
      <c r="F26" s="10" t="s">
        <v>72</v>
      </c>
      <c r="G26" s="7" t="s">
        <v>82</v>
      </c>
      <c r="H26" s="8" t="s">
        <v>17</v>
      </c>
      <c r="I26" s="8"/>
    </row>
    <row r="27" customFormat="false" ht="23.85" hidden="false" customHeight="false" outlineLevel="0" collapsed="false">
      <c r="A27" s="4" t="n">
        <v>3</v>
      </c>
      <c r="B27" s="4" t="s">
        <v>83</v>
      </c>
      <c r="C27" s="4" t="s">
        <v>34</v>
      </c>
      <c r="D27" s="5" t="s">
        <v>19</v>
      </c>
      <c r="E27" s="5" t="s">
        <v>84</v>
      </c>
      <c r="F27" s="10" t="s">
        <v>72</v>
      </c>
      <c r="G27" s="4" t="s">
        <v>85</v>
      </c>
      <c r="H27" s="5" t="s">
        <v>17</v>
      </c>
      <c r="I27" s="5"/>
    </row>
    <row r="28" customFormat="false" ht="15" hidden="false" customHeight="false" outlineLevel="0" collapsed="false">
      <c r="A28" s="7" t="n">
        <v>3</v>
      </c>
      <c r="B28" s="7" t="s">
        <v>83</v>
      </c>
      <c r="C28" s="7" t="s">
        <v>34</v>
      </c>
      <c r="D28" s="8" t="s">
        <v>38</v>
      </c>
      <c r="E28" s="8" t="s">
        <v>86</v>
      </c>
      <c r="F28" s="10" t="s">
        <v>72</v>
      </c>
      <c r="G28" s="7" t="s">
        <v>40</v>
      </c>
      <c r="H28" s="8" t="s">
        <v>17</v>
      </c>
      <c r="I28" s="8"/>
    </row>
    <row r="29" customFormat="false" ht="15" hidden="false" customHeight="false" outlineLevel="0" collapsed="false">
      <c r="A29" s="4" t="n">
        <v>3</v>
      </c>
      <c r="B29" s="4" t="s">
        <v>87</v>
      </c>
      <c r="C29" s="4" t="s">
        <v>42</v>
      </c>
      <c r="D29" s="5" t="s">
        <v>13</v>
      </c>
      <c r="E29" s="5" t="s">
        <v>88</v>
      </c>
      <c r="F29" s="10" t="s">
        <v>72</v>
      </c>
      <c r="G29" s="4" t="s">
        <v>60</v>
      </c>
      <c r="H29" s="5" t="s">
        <v>17</v>
      </c>
      <c r="I29" s="5" t="s">
        <v>89</v>
      </c>
    </row>
    <row r="30" customFormat="false" ht="15" hidden="false" customHeight="false" outlineLevel="0" collapsed="false">
      <c r="A30" s="7" t="n">
        <v>3</v>
      </c>
      <c r="B30" s="7" t="s">
        <v>90</v>
      </c>
      <c r="C30" s="7" t="s">
        <v>45</v>
      </c>
      <c r="D30" s="8" t="s">
        <v>38</v>
      </c>
      <c r="E30" s="8" t="s">
        <v>91</v>
      </c>
      <c r="F30" s="9" t="s">
        <v>50</v>
      </c>
      <c r="G30" s="7" t="s">
        <v>40</v>
      </c>
      <c r="H30" s="8" t="s">
        <v>17</v>
      </c>
      <c r="I30" s="8"/>
    </row>
    <row r="31" customFormat="false" ht="15" hidden="false" customHeight="false" outlineLevel="0" collapsed="false">
      <c r="A31" s="4" t="n">
        <v>3</v>
      </c>
      <c r="B31" s="4" t="s">
        <v>92</v>
      </c>
      <c r="C31" s="4" t="s">
        <v>48</v>
      </c>
      <c r="D31" s="5" t="s">
        <v>13</v>
      </c>
      <c r="E31" s="5" t="s">
        <v>93</v>
      </c>
      <c r="F31" s="10" t="s">
        <v>72</v>
      </c>
      <c r="G31" s="4" t="s">
        <v>32</v>
      </c>
      <c r="H31" s="5" t="s">
        <v>17</v>
      </c>
      <c r="I31" s="5"/>
    </row>
    <row r="32" customFormat="false" ht="15" hidden="false" customHeight="false" outlineLevel="0" collapsed="false">
      <c r="A32" s="7" t="n">
        <v>4</v>
      </c>
      <c r="B32" s="7" t="s">
        <v>94</v>
      </c>
      <c r="C32" s="7" t="s">
        <v>12</v>
      </c>
      <c r="D32" s="8" t="s">
        <v>13</v>
      </c>
      <c r="E32" s="8" t="s">
        <v>95</v>
      </c>
      <c r="F32" s="11" t="s">
        <v>96</v>
      </c>
      <c r="G32" s="7" t="s">
        <v>16</v>
      </c>
      <c r="H32" s="8" t="s">
        <v>17</v>
      </c>
      <c r="I32" s="8" t="s">
        <v>97</v>
      </c>
    </row>
    <row r="33" customFormat="false" ht="23.85" hidden="false" customHeight="false" outlineLevel="0" collapsed="false">
      <c r="A33" s="4" t="n">
        <v>4</v>
      </c>
      <c r="B33" s="4" t="s">
        <v>94</v>
      </c>
      <c r="C33" s="4" t="s">
        <v>12</v>
      </c>
      <c r="D33" s="5" t="s">
        <v>19</v>
      </c>
      <c r="E33" s="5" t="s">
        <v>98</v>
      </c>
      <c r="F33" s="11" t="s">
        <v>96</v>
      </c>
      <c r="G33" s="4" t="s">
        <v>99</v>
      </c>
      <c r="H33" s="5" t="s">
        <v>17</v>
      </c>
      <c r="I33" s="5"/>
    </row>
    <row r="34" customFormat="false" ht="15" hidden="false" customHeight="false" outlineLevel="0" collapsed="false">
      <c r="A34" s="7" t="n">
        <v>4</v>
      </c>
      <c r="B34" s="7" t="s">
        <v>100</v>
      </c>
      <c r="C34" s="7" t="s">
        <v>24</v>
      </c>
      <c r="D34" s="8" t="s">
        <v>25</v>
      </c>
      <c r="E34" s="8" t="s">
        <v>101</v>
      </c>
      <c r="F34" s="11" t="s">
        <v>96</v>
      </c>
      <c r="G34" s="7" t="s">
        <v>27</v>
      </c>
      <c r="H34" s="8" t="s">
        <v>17</v>
      </c>
      <c r="I34" s="8" t="s">
        <v>102</v>
      </c>
    </row>
    <row r="35" customFormat="false" ht="15" hidden="false" customHeight="false" outlineLevel="0" collapsed="false">
      <c r="A35" s="4" t="n">
        <v>4</v>
      </c>
      <c r="B35" s="4" t="s">
        <v>103</v>
      </c>
      <c r="C35" s="4" t="s">
        <v>30</v>
      </c>
      <c r="D35" s="5" t="s">
        <v>13</v>
      </c>
      <c r="E35" s="5" t="s">
        <v>104</v>
      </c>
      <c r="F35" s="11" t="s">
        <v>96</v>
      </c>
      <c r="G35" s="4" t="s">
        <v>32</v>
      </c>
      <c r="H35" s="5" t="s">
        <v>17</v>
      </c>
      <c r="I35" s="5"/>
    </row>
    <row r="36" customFormat="false" ht="15" hidden="false" customHeight="false" outlineLevel="0" collapsed="false">
      <c r="A36" s="7" t="n">
        <v>4</v>
      </c>
      <c r="B36" s="7" t="s">
        <v>105</v>
      </c>
      <c r="C36" s="7" t="s">
        <v>34</v>
      </c>
      <c r="D36" s="8" t="s">
        <v>19</v>
      </c>
      <c r="E36" s="8" t="s">
        <v>106</v>
      </c>
      <c r="F36" s="6" t="s">
        <v>15</v>
      </c>
      <c r="G36" s="7" t="s">
        <v>99</v>
      </c>
      <c r="H36" s="8" t="s">
        <v>17</v>
      </c>
      <c r="I36" s="8"/>
    </row>
    <row r="37" customFormat="false" ht="15" hidden="false" customHeight="false" outlineLevel="0" collapsed="false">
      <c r="A37" s="4" t="n">
        <v>4</v>
      </c>
      <c r="B37" s="4" t="s">
        <v>105</v>
      </c>
      <c r="C37" s="4" t="s">
        <v>34</v>
      </c>
      <c r="D37" s="5" t="s">
        <v>38</v>
      </c>
      <c r="E37" s="5" t="s">
        <v>107</v>
      </c>
      <c r="F37" s="11" t="s">
        <v>96</v>
      </c>
      <c r="G37" s="4" t="s">
        <v>40</v>
      </c>
      <c r="H37" s="5" t="s">
        <v>17</v>
      </c>
      <c r="I37" s="5"/>
    </row>
    <row r="38" customFormat="false" ht="15" hidden="false" customHeight="false" outlineLevel="0" collapsed="false">
      <c r="A38" s="7" t="n">
        <v>4</v>
      </c>
      <c r="B38" s="7" t="s">
        <v>108</v>
      </c>
      <c r="C38" s="7" t="s">
        <v>42</v>
      </c>
      <c r="D38" s="8" t="s">
        <v>13</v>
      </c>
      <c r="E38" s="8" t="s">
        <v>109</v>
      </c>
      <c r="F38" s="11" t="s">
        <v>96</v>
      </c>
      <c r="G38" s="7" t="s">
        <v>60</v>
      </c>
      <c r="H38" s="8" t="s">
        <v>17</v>
      </c>
      <c r="I38" s="8"/>
    </row>
    <row r="39" customFormat="false" ht="15" hidden="false" customHeight="false" outlineLevel="0" collapsed="false">
      <c r="A39" s="4" t="n">
        <v>4</v>
      </c>
      <c r="B39" s="4" t="s">
        <v>110</v>
      </c>
      <c r="C39" s="4" t="s">
        <v>45</v>
      </c>
      <c r="D39" s="5" t="s">
        <v>38</v>
      </c>
      <c r="E39" s="5" t="s">
        <v>111</v>
      </c>
      <c r="F39" s="11" t="s">
        <v>96</v>
      </c>
      <c r="G39" s="4" t="s">
        <v>40</v>
      </c>
      <c r="H39" s="5" t="s">
        <v>17</v>
      </c>
      <c r="I39" s="5"/>
    </row>
    <row r="40" customFormat="false" ht="15" hidden="false" customHeight="false" outlineLevel="0" collapsed="false">
      <c r="A40" s="7" t="n">
        <v>4</v>
      </c>
      <c r="B40" s="7" t="s">
        <v>112</v>
      </c>
      <c r="C40" s="7" t="s">
        <v>48</v>
      </c>
      <c r="D40" s="8" t="s">
        <v>13</v>
      </c>
      <c r="E40" s="8" t="s">
        <v>113</v>
      </c>
      <c r="F40" s="11" t="s">
        <v>96</v>
      </c>
      <c r="G40" s="7" t="s">
        <v>114</v>
      </c>
      <c r="H40" s="8" t="s">
        <v>17</v>
      </c>
      <c r="I40" s="8"/>
    </row>
    <row r="41" customFormat="false" ht="15" hidden="false" customHeight="false" outlineLevel="0" collapsed="false">
      <c r="A41" s="4" t="n">
        <v>4</v>
      </c>
      <c r="B41" s="4" t="s">
        <v>115</v>
      </c>
      <c r="C41" s="4" t="s">
        <v>12</v>
      </c>
      <c r="D41" s="5" t="s">
        <v>13</v>
      </c>
      <c r="E41" s="5" t="s">
        <v>116</v>
      </c>
      <c r="F41" s="10" t="s">
        <v>72</v>
      </c>
      <c r="G41" s="4" t="s">
        <v>32</v>
      </c>
      <c r="H41" s="5" t="s">
        <v>17</v>
      </c>
      <c r="I41" s="5"/>
    </row>
    <row r="42" customFormat="false" ht="15" hidden="false" customHeight="false" outlineLevel="0" collapsed="false">
      <c r="A42" s="7" t="n">
        <v>4</v>
      </c>
      <c r="B42" s="7" t="s">
        <v>117</v>
      </c>
      <c r="C42" s="7" t="s">
        <v>24</v>
      </c>
      <c r="D42" s="8" t="s">
        <v>25</v>
      </c>
      <c r="E42" s="8" t="s">
        <v>118</v>
      </c>
      <c r="F42" s="10" t="s">
        <v>72</v>
      </c>
      <c r="G42" s="7" t="s">
        <v>27</v>
      </c>
      <c r="H42" s="8" t="s">
        <v>17</v>
      </c>
      <c r="I42" s="8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5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</row>
    <row r="4" customFormat="false" ht="15" hidden="false" customHeight="false" outlineLevel="0" collapsed="false">
      <c r="A4" s="5" t="s">
        <v>126</v>
      </c>
      <c r="B4" s="4" t="s">
        <v>127</v>
      </c>
      <c r="C4" s="4" t="n">
        <v>48200</v>
      </c>
      <c r="D4" s="4" t="n">
        <v>4150</v>
      </c>
      <c r="E4" s="4" t="n">
        <v>1820</v>
      </c>
      <c r="F4" s="4" t="n">
        <f aca="false">D4/C4*100</f>
        <v>8.60995850622407</v>
      </c>
      <c r="G4" s="5" t="s">
        <v>128</v>
      </c>
    </row>
    <row r="5" customFormat="false" ht="15" hidden="false" customHeight="false" outlineLevel="0" collapsed="false">
      <c r="A5" s="8" t="s">
        <v>129</v>
      </c>
      <c r="B5" s="7" t="s">
        <v>130</v>
      </c>
      <c r="C5" s="7" t="n">
        <v>12400</v>
      </c>
      <c r="D5" s="7" t="s">
        <v>131</v>
      </c>
      <c r="E5" s="7" t="n">
        <v>3600</v>
      </c>
      <c r="F5" s="7" t="s">
        <v>131</v>
      </c>
      <c r="G5" s="8" t="s">
        <v>132</v>
      </c>
    </row>
    <row r="6" customFormat="false" ht="15" hidden="false" customHeight="false" outlineLevel="0" collapsed="false">
      <c r="A6" s="5" t="s">
        <v>133</v>
      </c>
      <c r="B6" s="4" t="s">
        <v>134</v>
      </c>
      <c r="C6" s="4" t="n">
        <v>8200</v>
      </c>
      <c r="D6" s="4" t="s">
        <v>131</v>
      </c>
      <c r="E6" s="4" t="n">
        <v>1240</v>
      </c>
      <c r="F6" s="4" t="s">
        <v>135</v>
      </c>
      <c r="G6" s="5" t="s">
        <v>136</v>
      </c>
    </row>
    <row r="7" customFormat="false" ht="15" hidden="false" customHeight="false" outlineLevel="0" collapsed="false">
      <c r="A7" s="8" t="s">
        <v>137</v>
      </c>
      <c r="B7" s="7" t="s">
        <v>138</v>
      </c>
      <c r="C7" s="7" t="n">
        <v>22600</v>
      </c>
      <c r="D7" s="7" t="n">
        <v>1820</v>
      </c>
      <c r="E7" s="7" t="n">
        <v>940</v>
      </c>
      <c r="F7" s="7" t="n">
        <f aca="false">D7/C7*100</f>
        <v>8.05309734513275</v>
      </c>
      <c r="G7" s="8" t="s">
        <v>139</v>
      </c>
    </row>
    <row r="8" customFormat="false" ht="15" hidden="false" customHeight="false" outlineLevel="0" collapsed="false">
      <c r="A8" s="12" t="s">
        <v>140</v>
      </c>
      <c r="B8" s="12" t="n">
        <f aca="false">SUM(B4:B7)</f>
        <v>0</v>
      </c>
      <c r="C8" s="12" t="n">
        <f aca="false">SUM(C4:C7)</f>
        <v>91400</v>
      </c>
      <c r="D8" s="12"/>
      <c r="E8" s="12" t="n">
        <f aca="false">SUM(E4:E7)</f>
        <v>7600</v>
      </c>
      <c r="F8" s="12"/>
      <c r="G8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3" t="s">
        <v>141</v>
      </c>
      <c r="B1" s="13"/>
      <c r="C1" s="13"/>
      <c r="D1" s="13"/>
      <c r="E1" s="13"/>
      <c r="F1" s="13"/>
      <c r="G1" s="13"/>
    </row>
    <row r="3" customFormat="false" ht="15" hidden="false" customHeight="false" outlineLevel="0" collapsed="false">
      <c r="A3" s="14" t="s">
        <v>2</v>
      </c>
      <c r="B3" s="14" t="s">
        <v>142</v>
      </c>
      <c r="C3" s="14" t="s">
        <v>143</v>
      </c>
      <c r="D3" s="14" t="s">
        <v>144</v>
      </c>
      <c r="E3" s="14" t="s">
        <v>122</v>
      </c>
      <c r="F3" s="14" t="s">
        <v>145</v>
      </c>
      <c r="G3" s="14" t="s">
        <v>124</v>
      </c>
    </row>
    <row r="4" customFormat="false" ht="15" hidden="false" customHeight="false" outlineLevel="0" collapsed="false">
      <c r="A4" s="4" t="n">
        <v>1</v>
      </c>
      <c r="B4" s="5" t="s">
        <v>146</v>
      </c>
      <c r="C4" s="4" t="n">
        <v>9800</v>
      </c>
      <c r="D4" s="4" t="n">
        <v>16200</v>
      </c>
      <c r="E4" s="4" t="n">
        <v>720</v>
      </c>
      <c r="F4" s="4" t="n">
        <v>310</v>
      </c>
      <c r="G4" s="15" t="n">
        <f aca="false">E4/C4*100</f>
        <v>7.34693877551021</v>
      </c>
    </row>
    <row r="5" customFormat="false" ht="15" hidden="false" customHeight="false" outlineLevel="0" collapsed="false">
      <c r="A5" s="7" t="n">
        <v>2</v>
      </c>
      <c r="B5" s="8" t="s">
        <v>147</v>
      </c>
      <c r="C5" s="7" t="n">
        <v>11400</v>
      </c>
      <c r="D5" s="7" t="n">
        <v>19800</v>
      </c>
      <c r="E5" s="7" t="n">
        <v>980</v>
      </c>
      <c r="F5" s="7" t="n">
        <v>520</v>
      </c>
      <c r="G5" s="16" t="n">
        <f aca="false">E5/C5*100</f>
        <v>8.59649122807018</v>
      </c>
    </row>
    <row r="6" customFormat="false" ht="15" hidden="false" customHeight="false" outlineLevel="0" collapsed="false">
      <c r="A6" s="4" t="n">
        <v>3</v>
      </c>
      <c r="B6" s="5" t="s">
        <v>148</v>
      </c>
      <c r="C6" s="4" t="n">
        <v>13200</v>
      </c>
      <c r="D6" s="4" t="n">
        <v>22400</v>
      </c>
      <c r="E6" s="4" t="n">
        <v>1280</v>
      </c>
      <c r="F6" s="4" t="n">
        <v>680</v>
      </c>
      <c r="G6" s="15" t="n">
        <f aca="false">E6/C6*100</f>
        <v>9.6969696969697</v>
      </c>
    </row>
    <row r="7" customFormat="false" ht="15" hidden="false" customHeight="false" outlineLevel="0" collapsed="false">
      <c r="A7" s="7" t="n">
        <v>4</v>
      </c>
      <c r="B7" s="8" t="s">
        <v>149</v>
      </c>
      <c r="C7" s="7" t="n">
        <v>13800</v>
      </c>
      <c r="D7" s="7" t="n">
        <v>24600</v>
      </c>
      <c r="E7" s="7" t="n">
        <v>1170</v>
      </c>
      <c r="F7" s="7" t="n">
        <v>490</v>
      </c>
      <c r="G7" s="16" t="n">
        <f aca="false">E7/C7*100</f>
        <v>8.47826086956522</v>
      </c>
    </row>
    <row r="8" customFormat="false" ht="15" hidden="false" customHeight="false" outlineLevel="0" collapsed="false">
      <c r="A8" s="12" t="s">
        <v>140</v>
      </c>
      <c r="B8" s="12"/>
      <c r="C8" s="12" t="n">
        <f aca="false">SUM(C4:C7)</f>
        <v>48200</v>
      </c>
      <c r="D8" s="12" t="n">
        <f aca="false">SUM(D4:D7)</f>
        <v>83000</v>
      </c>
      <c r="E8" s="12" t="n">
        <f aca="false">SUM(E4:E7)</f>
        <v>4150</v>
      </c>
      <c r="F8" s="12" t="n">
        <f aca="false">SUM(F4:F7)</f>
        <v>2000</v>
      </c>
      <c r="G8" s="17" t="n">
        <f aca="false">E8/C8*100</f>
        <v>8.60995850622407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150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151</v>
      </c>
      <c r="B3" s="3" t="s">
        <v>120</v>
      </c>
      <c r="C3" s="3" t="s">
        <v>152</v>
      </c>
      <c r="D3" s="3" t="s">
        <v>153</v>
      </c>
      <c r="E3" s="3" t="s">
        <v>154</v>
      </c>
      <c r="F3" s="3" t="s">
        <v>155</v>
      </c>
    </row>
    <row r="4" customFormat="false" ht="15" hidden="false" customHeight="false" outlineLevel="0" collapsed="false">
      <c r="A4" s="18" t="s">
        <v>15</v>
      </c>
      <c r="B4" s="6" t="s">
        <v>156</v>
      </c>
      <c r="C4" s="6" t="s">
        <v>157</v>
      </c>
      <c r="D4" s="6" t="n">
        <v>10200</v>
      </c>
      <c r="E4" s="6" t="n">
        <v>1180</v>
      </c>
      <c r="F4" s="18" t="s">
        <v>158</v>
      </c>
    </row>
    <row r="5" customFormat="false" ht="15" hidden="false" customHeight="false" outlineLevel="0" collapsed="false">
      <c r="A5" s="19" t="s">
        <v>50</v>
      </c>
      <c r="B5" s="9" t="s">
        <v>138</v>
      </c>
      <c r="C5" s="9" t="s">
        <v>159</v>
      </c>
      <c r="D5" s="9" t="n">
        <v>8600</v>
      </c>
      <c r="E5" s="9" t="n">
        <v>940</v>
      </c>
      <c r="F5" s="19" t="s">
        <v>160</v>
      </c>
    </row>
    <row r="6" customFormat="false" ht="15" hidden="false" customHeight="false" outlineLevel="0" collapsed="false">
      <c r="A6" s="20" t="s">
        <v>72</v>
      </c>
      <c r="B6" s="10" t="s">
        <v>138</v>
      </c>
      <c r="C6" s="10" t="s">
        <v>159</v>
      </c>
      <c r="D6" s="10" t="n">
        <v>7200</v>
      </c>
      <c r="E6" s="10" t="n">
        <v>1420</v>
      </c>
      <c r="F6" s="20" t="s">
        <v>161</v>
      </c>
    </row>
    <row r="7" customFormat="false" ht="15" hidden="false" customHeight="false" outlineLevel="0" collapsed="false">
      <c r="A7" s="21" t="s">
        <v>96</v>
      </c>
      <c r="B7" s="11" t="s">
        <v>162</v>
      </c>
      <c r="C7" s="11" t="s">
        <v>163</v>
      </c>
      <c r="D7" s="11" t="n">
        <v>11400</v>
      </c>
      <c r="E7" s="11" t="n">
        <v>820</v>
      </c>
      <c r="F7" s="21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166</v>
      </c>
      <c r="B3" s="3" t="s">
        <v>167</v>
      </c>
      <c r="C3" s="3" t="s">
        <v>168</v>
      </c>
      <c r="D3" s="3" t="s">
        <v>169</v>
      </c>
      <c r="E3" s="3" t="s">
        <v>170</v>
      </c>
      <c r="F3" s="3" t="s">
        <v>9</v>
      </c>
    </row>
    <row r="4" customFormat="false" ht="15" hidden="false" customHeight="false" outlineLevel="0" collapsed="false">
      <c r="A4" s="5" t="s">
        <v>171</v>
      </c>
      <c r="B4" s="4" t="s">
        <v>172</v>
      </c>
      <c r="C4" s="4" t="s">
        <v>173</v>
      </c>
      <c r="D4" s="4" t="s">
        <v>174</v>
      </c>
      <c r="E4" s="4" t="s">
        <v>131</v>
      </c>
      <c r="F4" s="22" t="s">
        <v>175</v>
      </c>
    </row>
    <row r="5" customFormat="false" ht="15" hidden="false" customHeight="false" outlineLevel="0" collapsed="false">
      <c r="A5" s="8" t="s">
        <v>176</v>
      </c>
      <c r="B5" s="7" t="s">
        <v>177</v>
      </c>
      <c r="C5" s="7" t="s">
        <v>178</v>
      </c>
      <c r="D5" s="7" t="s">
        <v>179</v>
      </c>
      <c r="E5" s="7" t="s">
        <v>180</v>
      </c>
      <c r="F5" s="22" t="s">
        <v>175</v>
      </c>
    </row>
    <row r="6" customFormat="false" ht="15" hidden="false" customHeight="false" outlineLevel="0" collapsed="false">
      <c r="A6" s="5" t="s">
        <v>181</v>
      </c>
      <c r="B6" s="4" t="s">
        <v>182</v>
      </c>
      <c r="C6" s="4" t="s">
        <v>183</v>
      </c>
      <c r="D6" s="4" t="s">
        <v>184</v>
      </c>
      <c r="E6" s="4" t="s">
        <v>131</v>
      </c>
      <c r="F6" s="22" t="s">
        <v>175</v>
      </c>
    </row>
    <row r="7" customFormat="false" ht="15" hidden="false" customHeight="false" outlineLevel="0" collapsed="false">
      <c r="A7" s="8" t="s">
        <v>185</v>
      </c>
      <c r="B7" s="7" t="s">
        <v>186</v>
      </c>
      <c r="C7" s="7" t="s">
        <v>187</v>
      </c>
      <c r="D7" s="7" t="s">
        <v>188</v>
      </c>
      <c r="E7" s="7" t="s">
        <v>189</v>
      </c>
      <c r="F7" s="22" t="s">
        <v>175</v>
      </c>
    </row>
    <row r="8" customFormat="false" ht="15" hidden="false" customHeight="false" outlineLevel="0" collapsed="false">
      <c r="A8" s="5" t="s">
        <v>190</v>
      </c>
      <c r="B8" s="4" t="s">
        <v>191</v>
      </c>
      <c r="C8" s="4" t="s">
        <v>192</v>
      </c>
      <c r="D8" s="4" t="s">
        <v>193</v>
      </c>
      <c r="E8" s="4" t="s">
        <v>131</v>
      </c>
      <c r="F8" s="22" t="s">
        <v>175</v>
      </c>
    </row>
    <row r="9" customFormat="false" ht="15" hidden="false" customHeight="false" outlineLevel="0" collapsed="false">
      <c r="A9" s="8" t="s">
        <v>194</v>
      </c>
      <c r="B9" s="7" t="s">
        <v>195</v>
      </c>
      <c r="C9" s="7" t="s">
        <v>196</v>
      </c>
      <c r="D9" s="7" t="s">
        <v>197</v>
      </c>
      <c r="E9" s="7" t="s">
        <v>131</v>
      </c>
      <c r="F9" s="22" t="s">
        <v>175</v>
      </c>
    </row>
    <row r="10" customFormat="false" ht="15" hidden="false" customHeight="false" outlineLevel="0" collapsed="false">
      <c r="A10" s="5" t="s">
        <v>198</v>
      </c>
      <c r="B10" s="4" t="s">
        <v>199</v>
      </c>
      <c r="C10" s="4" t="s">
        <v>200</v>
      </c>
      <c r="D10" s="4" t="s">
        <v>201</v>
      </c>
      <c r="E10" s="4" t="s">
        <v>131</v>
      </c>
      <c r="F10" s="22" t="s">
        <v>175</v>
      </c>
    </row>
    <row r="11" customFormat="false" ht="15" hidden="false" customHeight="false" outlineLevel="0" collapsed="false">
      <c r="A11" s="8" t="s">
        <v>202</v>
      </c>
      <c r="B11" s="7" t="s">
        <v>203</v>
      </c>
      <c r="C11" s="7" t="s">
        <v>204</v>
      </c>
      <c r="D11" s="7" t="s">
        <v>205</v>
      </c>
      <c r="E11" s="7" t="s">
        <v>131</v>
      </c>
      <c r="F11" s="22" t="s">
        <v>175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2026-04-22T04:10:16Z</dcterms:created>
  <dc:creator>openpyxl</dc:creator>
  <dc:description/>
  <dc:language>en-US</dc:language>
  <cp:lastModifiedBy/>
  <dcterms:modified xsi:type="dcterms:W3CDTF">2026-04-22T04:10:16Z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